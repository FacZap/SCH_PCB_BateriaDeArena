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zapata\Downloads\"/>
    </mc:Choice>
  </mc:AlternateContent>
  <bookViews>
    <workbookView xWindow="0" yWindow="0" windowWidth="23040" windowHeight="8616" tabRatio="500"/>
  </bookViews>
  <sheets>
    <sheet name="PCB" sheetId="1" r:id="rId1"/>
    <sheet name="Costo" sheetId="3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3" l="1"/>
  <c r="F15" i="3"/>
  <c r="F16" i="3"/>
  <c r="F17" i="3"/>
  <c r="F18" i="3"/>
  <c r="F19" i="3"/>
  <c r="F20" i="3"/>
  <c r="F21" i="3"/>
  <c r="F5" i="3"/>
  <c r="F6" i="3"/>
  <c r="F7" i="3"/>
  <c r="F8" i="3"/>
  <c r="F9" i="3"/>
  <c r="F10" i="3"/>
  <c r="F11" i="3"/>
  <c r="F12" i="3"/>
  <c r="F13" i="3"/>
  <c r="F4" i="3"/>
  <c r="F22" i="3" l="1"/>
</calcChain>
</file>

<file path=xl/sharedStrings.xml><?xml version="1.0" encoding="utf-8"?>
<sst xmlns="http://schemas.openxmlformats.org/spreadsheetml/2006/main" count="111" uniqueCount="94">
  <si>
    <t>PCB Specification</t>
  </si>
  <si>
    <t>Name:</t>
  </si>
  <si>
    <t>Board type :</t>
  </si>
  <si>
    <t>Placa individual, simple faz (single-sided)</t>
  </si>
  <si>
    <t>Size (single):</t>
  </si>
  <si>
    <t>Quantity (single)</t>
  </si>
  <si>
    <t>Layers:</t>
  </si>
  <si>
    <t>1 (una sola cara de cobre)</t>
  </si>
  <si>
    <t>Material:</t>
  </si>
  <si>
    <t>FR4, Tg 140 °C</t>
  </si>
  <si>
    <t>Thickness:</t>
  </si>
  <si>
    <t>1.6 mm</t>
  </si>
  <si>
    <t>Solder mask:</t>
  </si>
  <si>
    <t>Verde, una cara</t>
  </si>
  <si>
    <t>Silkscreen:</t>
  </si>
  <si>
    <t>Blanca, cara de componentes</t>
  </si>
  <si>
    <t>Surface finish</t>
  </si>
  <si>
    <t>HASL sin plomo</t>
  </si>
  <si>
    <t>Finished copper:</t>
  </si>
  <si>
    <t>35 µm (1 oz)</t>
  </si>
  <si>
    <t>Notes:</t>
  </si>
  <si>
    <t>Datos de fabricación</t>
  </si>
  <si>
    <t>Método de fabricación:</t>
  </si>
  <si>
    <t>Artesanal</t>
  </si>
  <si>
    <t>Método de transferencia de diseño:</t>
  </si>
  <si>
    <t>Tóner (transferencia térmica)</t>
  </si>
  <si>
    <t>Reactivo de ataque químico:</t>
  </si>
  <si>
    <t>Cloruro férrico</t>
  </si>
  <si>
    <t>Método de soldado:</t>
  </si>
  <si>
    <t>Tratamiento de aislación final:</t>
  </si>
  <si>
    <t>Laca (barniz protector)</t>
  </si>
  <si>
    <t>Costo estimado de insumos ($):</t>
  </si>
  <si>
    <t>Controlador batería de arena – ESP32 (V1: simple faz, pasivos SMD)</t>
  </si>
  <si>
    <t>1</t>
  </si>
  <si>
    <t>Diseño THT-dominante con pasivos R1–R5 y C1–C2 en SMD 1206 / electrolítico SMD. Ruteo en una sola capa de cobre. Carga de potencia: nicrom ~5 A (~2.4 Ω) vía bornera, no soldado directo. A usar con ESP32.</t>
  </si>
  <si>
    <t>[VER SEGUNDA HOJA]</t>
  </si>
  <si>
    <t>Costeo de insumos — placa batería de arena (V4, simple faz, artesanal)</t>
  </si>
  <si>
    <t>Rubro</t>
  </si>
  <si>
    <t>Detalle</t>
  </si>
  <si>
    <t>Precio unit. ($)</t>
  </si>
  <si>
    <t>Cant.</t>
  </si>
  <si>
    <t>Subtotal ($)</t>
  </si>
  <si>
    <t>Fuente / Nota</t>
  </si>
  <si>
    <t>Placa virgen FR4 simple faz</t>
  </si>
  <si>
    <t>ESP32 DevKit V1</t>
  </si>
  <si>
    <t>Módulo controlador</t>
  </si>
  <si>
    <t>12,090</t>
  </si>
  <si>
    <t>Frasco/escamas p/ ataque</t>
  </si>
  <si>
    <t>7,000</t>
  </si>
  <si>
    <t>LM2596S-5</t>
  </si>
  <si>
    <t>Regulador conmutado TO-220</t>
  </si>
  <si>
    <t>1,500</t>
  </si>
  <si>
    <t>IRLZ44N</t>
  </si>
  <si>
    <t>MOSFET potencia TO-220</t>
  </si>
  <si>
    <t>1,200</t>
  </si>
  <si>
    <t>BC547</t>
  </si>
  <si>
    <t>Transistor drive relé</t>
  </si>
  <si>
    <t>DS18B20</t>
  </si>
  <si>
    <t>Sensor temperatura</t>
  </si>
  <si>
    <t>2,500</t>
  </si>
  <si>
    <t>Relé Songle SRD-12VDC-SL-C</t>
  </si>
  <si>
    <t>Relé 12V 10A</t>
  </si>
  <si>
    <t>Inductor 33µH radial</t>
  </si>
  <si>
    <t>Bobina buck</t>
  </si>
  <si>
    <t>Diodo 1N5822</t>
  </si>
  <si>
    <t>Schottky</t>
  </si>
  <si>
    <t>Diodo 1N4007</t>
  </si>
  <si>
    <t>Flyback</t>
  </si>
  <si>
    <t>Disipador TO-220</t>
  </si>
  <si>
    <t>Heatsink p/ MOSFET/regulador</t>
  </si>
  <si>
    <t>Borneras 2 pines</t>
  </si>
  <si>
    <t>Screw terminal (J3, J4)</t>
  </si>
  <si>
    <t>Pin headers</t>
  </si>
  <si>
    <t>Tira 1x19 (J1,J2) + 1x04 (J5)</t>
  </si>
  <si>
    <t>Resistencias SMD 1206</t>
  </si>
  <si>
    <t>R1–R5 (5 u.)</t>
  </si>
  <si>
    <t>Capacitores cerámicos SMD 1206</t>
  </si>
  <si>
    <t>100 nF</t>
  </si>
  <si>
    <t>Capacitores electrolíticos SMD</t>
  </si>
  <si>
    <t>100 µF + 220 µF</t>
  </si>
  <si>
    <t>1,000</t>
  </si>
  <si>
    <t>Insumos artesanales</t>
  </si>
  <si>
    <t>3,000</t>
  </si>
  <si>
    <t>TOTAL estimado</t>
  </si>
  <si>
    <t>IDE Ingeniería</t>
  </si>
  <si>
    <t>MercadoLibre</t>
  </si>
  <si>
    <t>Estimado pack de Mercado Libre</t>
  </si>
  <si>
    <t>Estimado "a ojo"</t>
  </si>
  <si>
    <t>10x10 (se puede hacer que entre)</t>
  </si>
  <si>
    <t xml:space="preserve">Estaño + papel transfer + laca + fibra </t>
  </si>
  <si>
    <t>Total ($)</t>
  </si>
  <si>
    <t>aprox. 40mil ARS</t>
  </si>
  <si>
    <t>105 × 85 mm</t>
  </si>
  <si>
    <t>Soldador convencional (THT) + aire caliente (SMD 1206)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</si>
</sst>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rgb="FF000000"/>
      <name val="Arial"/>
      <charset val="1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charset val="1"/>
    </font>
    <font>
      <b/>
      <sz val="12"/>
      <name val="Calibri"/>
      <family val="2"/>
    </font>
    <font>
      <sz val="11"/>
      <color rgb="FF000000"/>
      <name val="Arial"/>
      <family val="2"/>
    </font>
    <font>
      <i/>
      <sz val="9"/>
      <color rgb="FF80808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quotePrefix="1" applyFont="1"/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4" fillId="4" borderId="1" xfId="0" applyFont="1" applyFill="1" applyBorder="1" applyAlignment="1">
      <alignment horizontal="right" wrapText="1"/>
    </xf>
    <xf numFmtId="0" fontId="2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115" zoomScaleNormal="115" workbookViewId="0">
      <selection activeCell="B15" sqref="B15"/>
    </sheetView>
  </sheetViews>
  <sheetFormatPr baseColWidth="10" defaultColWidth="10.6640625" defaultRowHeight="13.2" x14ac:dyDescent="0.25"/>
  <cols>
    <col min="1" max="1" width="34" customWidth="1"/>
    <col min="2" max="2" width="50.33203125" customWidth="1"/>
    <col min="3" max="3" width="11.88671875" customWidth="1"/>
    <col min="4" max="4" width="8.109375" customWidth="1"/>
    <col min="5" max="5" width="13" customWidth="1"/>
    <col min="6" max="6" width="9" customWidth="1"/>
    <col min="7" max="7" width="4.5546875" customWidth="1"/>
    <col min="8" max="8" width="11.5546875" customWidth="1"/>
  </cols>
  <sheetData>
    <row r="1" spans="1:8" ht="15.75" customHeight="1" x14ac:dyDescent="0.3">
      <c r="A1" s="1" t="s">
        <v>0</v>
      </c>
      <c r="B1" s="19"/>
      <c r="C1" s="19"/>
      <c r="D1" s="19"/>
      <c r="E1" s="3"/>
      <c r="F1" s="2"/>
      <c r="G1" s="2"/>
      <c r="H1" s="2"/>
    </row>
    <row r="2" spans="1:8" x14ac:dyDescent="0.25">
      <c r="A2" t="s">
        <v>1</v>
      </c>
      <c r="B2" s="4" t="s">
        <v>32</v>
      </c>
    </row>
    <row r="3" spans="1:8" x14ac:dyDescent="0.25">
      <c r="A3" t="s">
        <v>2</v>
      </c>
      <c r="B3" s="4" t="s">
        <v>3</v>
      </c>
    </row>
    <row r="4" spans="1:8" x14ac:dyDescent="0.25">
      <c r="A4" t="s">
        <v>4</v>
      </c>
      <c r="B4" s="21" t="s">
        <v>92</v>
      </c>
    </row>
    <row r="5" spans="1:8" x14ac:dyDescent="0.25">
      <c r="A5" s="6" t="s">
        <v>5</v>
      </c>
      <c r="B5" s="10" t="s">
        <v>33</v>
      </c>
    </row>
    <row r="6" spans="1:8" x14ac:dyDescent="0.25">
      <c r="A6" s="6" t="s">
        <v>6</v>
      </c>
      <c r="B6" s="4" t="s">
        <v>7</v>
      </c>
    </row>
    <row r="7" spans="1:8" x14ac:dyDescent="0.25">
      <c r="A7" s="6" t="s">
        <v>8</v>
      </c>
      <c r="B7" s="4" t="s">
        <v>9</v>
      </c>
    </row>
    <row r="8" spans="1:8" x14ac:dyDescent="0.25">
      <c r="A8" s="6" t="s">
        <v>10</v>
      </c>
      <c r="B8" s="4" t="s">
        <v>11</v>
      </c>
    </row>
    <row r="9" spans="1:8" x14ac:dyDescent="0.25">
      <c r="A9" s="6" t="s">
        <v>12</v>
      </c>
      <c r="B9" s="4" t="s">
        <v>13</v>
      </c>
    </row>
    <row r="10" spans="1:8" x14ac:dyDescent="0.25">
      <c r="A10" s="6" t="s">
        <v>14</v>
      </c>
      <c r="B10" s="4" t="s">
        <v>15</v>
      </c>
    </row>
    <row r="11" spans="1:8" x14ac:dyDescent="0.25">
      <c r="A11" s="6" t="s">
        <v>16</v>
      </c>
      <c r="B11" s="4" t="s">
        <v>17</v>
      </c>
    </row>
    <row r="12" spans="1:8" x14ac:dyDescent="0.25">
      <c r="A12" s="6" t="s">
        <v>18</v>
      </c>
      <c r="B12" s="4" t="s">
        <v>19</v>
      </c>
    </row>
    <row r="13" spans="1:8" ht="60" customHeight="1" x14ac:dyDescent="0.25">
      <c r="A13" s="6" t="s">
        <v>20</v>
      </c>
      <c r="B13" s="7" t="s">
        <v>34</v>
      </c>
    </row>
    <row r="15" spans="1:8" ht="15.75" customHeight="1" x14ac:dyDescent="0.3">
      <c r="A15" s="8" t="s">
        <v>21</v>
      </c>
    </row>
    <row r="16" spans="1:8" ht="14.25" customHeight="1" x14ac:dyDescent="0.25">
      <c r="A16" s="9" t="s">
        <v>22</v>
      </c>
      <c r="B16" s="21" t="s">
        <v>23</v>
      </c>
    </row>
    <row r="17" spans="1:2" ht="14.25" customHeight="1" x14ac:dyDescent="0.25">
      <c r="A17" s="9" t="s">
        <v>24</v>
      </c>
      <c r="B17" s="21" t="s">
        <v>25</v>
      </c>
    </row>
    <row r="18" spans="1:2" ht="14.25" customHeight="1" x14ac:dyDescent="0.25">
      <c r="A18" s="9" t="s">
        <v>26</v>
      </c>
      <c r="B18" s="21" t="s">
        <v>27</v>
      </c>
    </row>
    <row r="19" spans="1:2" ht="14.25" customHeight="1" x14ac:dyDescent="0.25">
      <c r="A19" s="9" t="s">
        <v>28</v>
      </c>
      <c r="B19" s="21" t="s">
        <v>93</v>
      </c>
    </row>
    <row r="20" spans="1:2" ht="14.25" customHeight="1" x14ac:dyDescent="0.25">
      <c r="A20" s="9" t="s">
        <v>29</v>
      </c>
      <c r="B20" s="21" t="s">
        <v>30</v>
      </c>
    </row>
    <row r="21" spans="1:2" ht="14.25" customHeight="1" x14ac:dyDescent="0.25">
      <c r="A21" s="9" t="s">
        <v>31</v>
      </c>
      <c r="B21" s="5" t="s">
        <v>35</v>
      </c>
    </row>
    <row r="23" spans="1:2" x14ac:dyDescent="0.25">
      <c r="A23" s="20"/>
      <c r="B23" s="20"/>
    </row>
  </sheetData>
  <mergeCells count="2">
    <mergeCell ref="B1:D1"/>
    <mergeCell ref="A23:B2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C17" sqref="C17"/>
    </sheetView>
  </sheetViews>
  <sheetFormatPr baseColWidth="10" defaultColWidth="8.88671875" defaultRowHeight="13.2" x14ac:dyDescent="0.25"/>
  <cols>
    <col min="1" max="1" width="25.77734375" customWidth="1"/>
    <col min="2" max="2" width="33.33203125" customWidth="1"/>
    <col min="3" max="3" width="17" customWidth="1"/>
    <col min="4" max="6" width="12.33203125" customWidth="1"/>
    <col min="7" max="7" width="25.77734375" customWidth="1"/>
  </cols>
  <sheetData>
    <row r="1" spans="1:7" ht="14.4" thickBot="1" x14ac:dyDescent="0.3">
      <c r="A1" s="11" t="s">
        <v>36</v>
      </c>
      <c r="B1" s="12"/>
      <c r="C1" s="12"/>
      <c r="D1" s="12"/>
      <c r="E1" s="12"/>
      <c r="F1" s="12"/>
      <c r="G1" s="12"/>
    </row>
    <row r="2" spans="1:7" ht="13.8" thickBot="1" x14ac:dyDescent="0.3">
      <c r="A2" s="12"/>
      <c r="B2" s="12"/>
      <c r="C2" s="12"/>
      <c r="D2" s="12"/>
      <c r="E2" s="12"/>
      <c r="F2" s="12"/>
      <c r="G2" s="12"/>
    </row>
    <row r="3" spans="1:7" ht="13.8" thickBot="1" x14ac:dyDescent="0.3">
      <c r="A3" s="13" t="s">
        <v>37</v>
      </c>
      <c r="B3" s="13" t="s">
        <v>38</v>
      </c>
      <c r="C3" s="13" t="s">
        <v>39</v>
      </c>
      <c r="D3" s="13" t="s">
        <v>40</v>
      </c>
      <c r="E3" s="13" t="s">
        <v>41</v>
      </c>
      <c r="F3" s="13" t="s">
        <v>90</v>
      </c>
      <c r="G3" s="13" t="s">
        <v>42</v>
      </c>
    </row>
    <row r="4" spans="1:7" ht="28.8" customHeight="1" thickBot="1" x14ac:dyDescent="0.3">
      <c r="A4" s="16" t="s">
        <v>43</v>
      </c>
      <c r="B4" s="12" t="s">
        <v>88</v>
      </c>
      <c r="C4" s="14">
        <v>1300</v>
      </c>
      <c r="D4" s="14">
        <v>1</v>
      </c>
      <c r="E4" s="14">
        <v>5000</v>
      </c>
      <c r="F4" s="14">
        <f>D4*E4</f>
        <v>5000</v>
      </c>
      <c r="G4" s="15" t="s">
        <v>84</v>
      </c>
    </row>
    <row r="5" spans="1:7" ht="28.8" customHeight="1" thickBot="1" x14ac:dyDescent="0.3">
      <c r="A5" s="12" t="s">
        <v>44</v>
      </c>
      <c r="B5" s="12" t="s">
        <v>45</v>
      </c>
      <c r="C5" s="14" t="s">
        <v>46</v>
      </c>
      <c r="D5" s="14">
        <v>1</v>
      </c>
      <c r="E5" s="14">
        <v>12090</v>
      </c>
      <c r="F5" s="14">
        <f t="shared" ref="F5:F21" si="0">D5*E5</f>
        <v>12090</v>
      </c>
      <c r="G5" s="15" t="s">
        <v>85</v>
      </c>
    </row>
    <row r="6" spans="1:7" ht="28.8" customHeight="1" thickBot="1" x14ac:dyDescent="0.3">
      <c r="A6" s="16" t="s">
        <v>27</v>
      </c>
      <c r="B6" s="12" t="s">
        <v>47</v>
      </c>
      <c r="C6" s="14" t="s">
        <v>48</v>
      </c>
      <c r="D6" s="14">
        <v>1</v>
      </c>
      <c r="E6" s="14">
        <v>7000</v>
      </c>
      <c r="F6" s="14">
        <f t="shared" si="0"/>
        <v>7000</v>
      </c>
      <c r="G6" s="15" t="s">
        <v>85</v>
      </c>
    </row>
    <row r="7" spans="1:7" ht="28.8" customHeight="1" thickBot="1" x14ac:dyDescent="0.3">
      <c r="A7" s="12" t="s">
        <v>49</v>
      </c>
      <c r="B7" s="12" t="s">
        <v>50</v>
      </c>
      <c r="C7" s="14" t="s">
        <v>51</v>
      </c>
      <c r="D7" s="14">
        <v>1</v>
      </c>
      <c r="E7" s="14">
        <v>1500</v>
      </c>
      <c r="F7" s="14">
        <f t="shared" si="0"/>
        <v>1500</v>
      </c>
      <c r="G7" s="15" t="s">
        <v>85</v>
      </c>
    </row>
    <row r="8" spans="1:7" ht="28.8" customHeight="1" thickBot="1" x14ac:dyDescent="0.3">
      <c r="A8" s="12" t="s">
        <v>52</v>
      </c>
      <c r="B8" s="12" t="s">
        <v>53</v>
      </c>
      <c r="C8" s="14" t="s">
        <v>54</v>
      </c>
      <c r="D8" s="14">
        <v>1</v>
      </c>
      <c r="E8" s="14">
        <v>1200</v>
      </c>
      <c r="F8" s="14">
        <f t="shared" si="0"/>
        <v>1200</v>
      </c>
      <c r="G8" s="15" t="s">
        <v>85</v>
      </c>
    </row>
    <row r="9" spans="1:7" ht="28.8" customHeight="1" thickBot="1" x14ac:dyDescent="0.3">
      <c r="A9" s="12" t="s">
        <v>55</v>
      </c>
      <c r="B9" s="12" t="s">
        <v>56</v>
      </c>
      <c r="C9" s="14">
        <v>150</v>
      </c>
      <c r="D9" s="14">
        <v>1</v>
      </c>
      <c r="E9" s="14">
        <v>150</v>
      </c>
      <c r="F9" s="14">
        <f t="shared" si="0"/>
        <v>150</v>
      </c>
      <c r="G9" s="15" t="s">
        <v>85</v>
      </c>
    </row>
    <row r="10" spans="1:7" ht="28.8" customHeight="1" thickBot="1" x14ac:dyDescent="0.3">
      <c r="A10" s="12" t="s">
        <v>57</v>
      </c>
      <c r="B10" s="12" t="s">
        <v>58</v>
      </c>
      <c r="C10" s="14" t="s">
        <v>59</v>
      </c>
      <c r="D10" s="14">
        <v>1</v>
      </c>
      <c r="E10" s="14">
        <v>2500</v>
      </c>
      <c r="F10" s="14">
        <f t="shared" si="0"/>
        <v>2500</v>
      </c>
      <c r="G10" s="15" t="s">
        <v>85</v>
      </c>
    </row>
    <row r="11" spans="1:7" ht="28.8" customHeight="1" thickBot="1" x14ac:dyDescent="0.3">
      <c r="A11" s="12" t="s">
        <v>60</v>
      </c>
      <c r="B11" s="12" t="s">
        <v>61</v>
      </c>
      <c r="C11" s="14" t="s">
        <v>51</v>
      </c>
      <c r="D11" s="14">
        <v>1</v>
      </c>
      <c r="E11" s="14">
        <v>1500</v>
      </c>
      <c r="F11" s="14">
        <f t="shared" si="0"/>
        <v>1500</v>
      </c>
      <c r="G11" s="15" t="s">
        <v>85</v>
      </c>
    </row>
    <row r="12" spans="1:7" ht="28.8" customHeight="1" thickBot="1" x14ac:dyDescent="0.3">
      <c r="A12" s="12" t="s">
        <v>62</v>
      </c>
      <c r="B12" s="12" t="s">
        <v>63</v>
      </c>
      <c r="C12" s="14">
        <v>600</v>
      </c>
      <c r="D12" s="14">
        <v>1</v>
      </c>
      <c r="E12" s="14">
        <v>600</v>
      </c>
      <c r="F12" s="14">
        <f t="shared" si="0"/>
        <v>600</v>
      </c>
      <c r="G12" s="15" t="s">
        <v>86</v>
      </c>
    </row>
    <row r="13" spans="1:7" ht="28.8" customHeight="1" thickBot="1" x14ac:dyDescent="0.3">
      <c r="A13" s="12" t="s">
        <v>64</v>
      </c>
      <c r="B13" s="12" t="s">
        <v>65</v>
      </c>
      <c r="C13" s="14">
        <v>300</v>
      </c>
      <c r="D13" s="14">
        <v>1</v>
      </c>
      <c r="E13" s="14">
        <v>300</v>
      </c>
      <c r="F13" s="14">
        <f t="shared" si="0"/>
        <v>300</v>
      </c>
      <c r="G13" s="15" t="s">
        <v>85</v>
      </c>
    </row>
    <row r="14" spans="1:7" ht="28.8" customHeight="1" thickBot="1" x14ac:dyDescent="0.3">
      <c r="A14" s="12" t="s">
        <v>66</v>
      </c>
      <c r="B14" s="12" t="s">
        <v>67</v>
      </c>
      <c r="C14" s="14">
        <v>50</v>
      </c>
      <c r="D14" s="14">
        <v>1</v>
      </c>
      <c r="E14" s="14">
        <v>50</v>
      </c>
      <c r="F14" s="14">
        <f>D14*E14</f>
        <v>50</v>
      </c>
      <c r="G14" s="15" t="s">
        <v>85</v>
      </c>
    </row>
    <row r="15" spans="1:7" ht="28.8" customHeight="1" thickBot="1" x14ac:dyDescent="0.3">
      <c r="A15" s="12" t="s">
        <v>68</v>
      </c>
      <c r="B15" s="12" t="s">
        <v>69</v>
      </c>
      <c r="C15" s="14" t="s">
        <v>51</v>
      </c>
      <c r="D15" s="14">
        <v>1</v>
      </c>
      <c r="E15" s="14">
        <v>1500</v>
      </c>
      <c r="F15" s="14">
        <f t="shared" si="0"/>
        <v>1500</v>
      </c>
      <c r="G15" s="15" t="s">
        <v>85</v>
      </c>
    </row>
    <row r="16" spans="1:7" ht="28.8" customHeight="1" thickBot="1" x14ac:dyDescent="0.3">
      <c r="A16" s="12" t="s">
        <v>70</v>
      </c>
      <c r="B16" s="12" t="s">
        <v>71</v>
      </c>
      <c r="C16" s="14">
        <v>400</v>
      </c>
      <c r="D16" s="14">
        <v>2</v>
      </c>
      <c r="E16" s="14">
        <v>800</v>
      </c>
      <c r="F16" s="14">
        <f t="shared" si="0"/>
        <v>1600</v>
      </c>
      <c r="G16" s="15" t="s">
        <v>86</v>
      </c>
    </row>
    <row r="17" spans="1:7" ht="28.8" customHeight="1" thickBot="1" x14ac:dyDescent="0.3">
      <c r="A17" s="12" t="s">
        <v>72</v>
      </c>
      <c r="B17" s="12" t="s">
        <v>73</v>
      </c>
      <c r="C17" s="14">
        <v>500</v>
      </c>
      <c r="D17" s="14">
        <v>1</v>
      </c>
      <c r="E17" s="14">
        <v>500</v>
      </c>
      <c r="F17" s="14">
        <f t="shared" si="0"/>
        <v>500</v>
      </c>
      <c r="G17" s="15" t="s">
        <v>86</v>
      </c>
    </row>
    <row r="18" spans="1:7" ht="28.8" customHeight="1" thickBot="1" x14ac:dyDescent="0.3">
      <c r="A18" s="12" t="s">
        <v>74</v>
      </c>
      <c r="B18" s="12" t="s">
        <v>75</v>
      </c>
      <c r="C18" s="14">
        <v>250</v>
      </c>
      <c r="D18" s="14">
        <v>1</v>
      </c>
      <c r="E18" s="14">
        <v>250</v>
      </c>
      <c r="F18" s="14">
        <f t="shared" si="0"/>
        <v>250</v>
      </c>
      <c r="G18" s="15" t="s">
        <v>86</v>
      </c>
    </row>
    <row r="19" spans="1:7" ht="28.8" customHeight="1" thickBot="1" x14ac:dyDescent="0.3">
      <c r="A19" s="12" t="s">
        <v>76</v>
      </c>
      <c r="B19" s="12" t="s">
        <v>77</v>
      </c>
      <c r="C19" s="14">
        <v>200</v>
      </c>
      <c r="D19" s="14">
        <v>1</v>
      </c>
      <c r="E19" s="14">
        <v>200</v>
      </c>
      <c r="F19" s="14">
        <f t="shared" si="0"/>
        <v>200</v>
      </c>
      <c r="G19" s="15" t="s">
        <v>86</v>
      </c>
    </row>
    <row r="20" spans="1:7" ht="28.8" customHeight="1" thickBot="1" x14ac:dyDescent="0.3">
      <c r="A20" s="12" t="s">
        <v>78</v>
      </c>
      <c r="B20" s="12" t="s">
        <v>79</v>
      </c>
      <c r="C20" s="14" t="s">
        <v>80</v>
      </c>
      <c r="D20" s="14">
        <v>1</v>
      </c>
      <c r="E20" s="14">
        <v>1000</v>
      </c>
      <c r="F20" s="14">
        <f t="shared" si="0"/>
        <v>1000</v>
      </c>
      <c r="G20" s="15" t="s">
        <v>86</v>
      </c>
    </row>
    <row r="21" spans="1:7" ht="28.8" customHeight="1" thickBot="1" x14ac:dyDescent="0.3">
      <c r="A21" s="16" t="s">
        <v>81</v>
      </c>
      <c r="B21" s="12" t="s">
        <v>89</v>
      </c>
      <c r="C21" s="14" t="s">
        <v>82</v>
      </c>
      <c r="D21" s="14">
        <v>1</v>
      </c>
      <c r="E21" s="14">
        <v>3000</v>
      </c>
      <c r="F21" s="14">
        <f t="shared" si="0"/>
        <v>3000</v>
      </c>
      <c r="G21" s="15" t="s">
        <v>87</v>
      </c>
    </row>
    <row r="22" spans="1:7" ht="28.8" customHeight="1" thickBot="1" x14ac:dyDescent="0.3">
      <c r="A22" s="16" t="s">
        <v>83</v>
      </c>
      <c r="B22" s="12"/>
      <c r="C22" s="12"/>
      <c r="D22" s="12"/>
      <c r="E22" s="12"/>
      <c r="F22" s="18">
        <f>SUM(F4:F21)</f>
        <v>39940</v>
      </c>
      <c r="G22" s="17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PCB</vt:lpstr>
      <vt:lpstr>Costo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Facundo Zapata</cp:lastModifiedBy>
  <cp:revision>0</cp:revision>
  <dcterms:created xsi:type="dcterms:W3CDTF">2026-07-26T21:05:26Z</dcterms:created>
  <dcterms:modified xsi:type="dcterms:W3CDTF">2026-08-05T19:12:15Z</dcterms:modified>
  <dc:language>en-US</dc:language>
</cp:coreProperties>
</file>